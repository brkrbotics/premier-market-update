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xmlns:r="http://schemas.openxmlformats.org/officeDocument/2006/relationships" name="TRREB" sheetId="1" state="visible" r:id="rId1"/>
    <sheet xmlns:r="http://schemas.openxmlformats.org/officeDocument/2006/relationships" name="York Region" sheetId="2" state="visible" r:id="rId2"/>
    <sheet xmlns:r="http://schemas.openxmlformats.org/officeDocument/2006/relationships" name="Toronto" sheetId="3" state="visible" r:id="rId3"/>
    <sheet xmlns:r="http://schemas.openxmlformats.org/officeDocument/2006/relationships" name="Simcoe" sheetId="4" state="visible" r:id="rId4"/>
    <sheet xmlns:r="http://schemas.openxmlformats.org/officeDocument/2006/relationships" name="Peel" sheetId="5" state="visible" r:id="rId5"/>
    <sheet xmlns:r="http://schemas.openxmlformats.org/officeDocument/2006/relationships" name="Halton" sheetId="6" state="visible" r:id="rId6"/>
    <sheet xmlns:r="http://schemas.openxmlformats.org/officeDocument/2006/relationships" name="Durham" sheetId="7" state="visible" r:id="rId7"/>
    <sheet xmlns:r="http://schemas.openxmlformats.org/officeDocument/2006/relationships"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8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6583</v>
      </c>
      <c r="E198" s="24" t="n">
        <v>7041836263</v>
      </c>
      <c r="F198" s="24" t="n">
        <v>1069700</v>
      </c>
      <c r="G198" s="25">
        <f>IFERROR(F198/F186-1,"")</f>
        <v/>
      </c>
      <c r="H198" s="24" t="n">
        <v>910000</v>
      </c>
      <c r="I198" s="23" t="n">
        <v>17698</v>
      </c>
      <c r="J198" s="23" t="n">
        <v>26927</v>
      </c>
      <c r="K198" s="25" t="n">
        <v>0.357</v>
      </c>
      <c r="L198" s="26">
        <f>J198/D198</f>
        <v/>
      </c>
      <c r="M198" s="26" t="n">
        <v>4.8</v>
      </c>
      <c r="N198" s="27" t="n">
        <v>27</v>
      </c>
      <c r="O198" s="27" t="n">
        <v>42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1183</v>
      </c>
      <c r="E198" s="24" t="n">
        <v>1392781792</v>
      </c>
      <c r="F198" s="24" t="n">
        <v>1177330</v>
      </c>
      <c r="G198" s="25">
        <f>IFERROR(F198/F186-1,"")</f>
        <v/>
      </c>
      <c r="H198" s="24" t="n">
        <v>1090000</v>
      </c>
      <c r="I198" s="23" t="n">
        <v>3323</v>
      </c>
      <c r="J198" s="23" t="n">
        <v>5252</v>
      </c>
      <c r="K198" s="25" t="n">
        <v>0.339</v>
      </c>
      <c r="L198" s="26">
        <f>J198/D198</f>
        <v/>
      </c>
      <c r="M198" s="26" t="n">
        <v>5.2</v>
      </c>
      <c r="N198" s="27" t="n">
        <v>28</v>
      </c>
      <c r="O198" s="27" t="n">
        <v>42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2377</v>
      </c>
      <c r="E198" s="24" t="n">
        <v>2634409008</v>
      </c>
      <c r="F198" s="24" t="n">
        <v>1108292</v>
      </c>
      <c r="G198" s="25">
        <f>IFERROR(F198/F186-1,"")</f>
        <v/>
      </c>
      <c r="H198" s="24" t="n">
        <v>885000</v>
      </c>
      <c r="I198" s="23" t="n">
        <v>6401</v>
      </c>
      <c r="J198" s="23" t="n">
        <v>9916</v>
      </c>
      <c r="K198" s="25" t="n">
        <v>0.366</v>
      </c>
      <c r="L198" s="26">
        <f>J198/D198</f>
        <v/>
      </c>
      <c r="M198" s="26" t="n">
        <v>4.8</v>
      </c>
      <c r="N198" s="27" t="n">
        <v>26</v>
      </c>
      <c r="O198" s="27" t="n">
        <v>40</v>
      </c>
      <c r="P198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247</v>
      </c>
      <c r="E198" s="24" t="n">
        <v>216306128</v>
      </c>
      <c r="F198" s="24" t="n">
        <v>875733</v>
      </c>
      <c r="G198" s="25">
        <f>IFERROR(F198/F186-1,"")</f>
        <v/>
      </c>
      <c r="H198" s="24" t="n">
        <v>815000</v>
      </c>
      <c r="I198" s="23" t="n">
        <v>657</v>
      </c>
      <c r="J198" s="23" t="n">
        <v>1122</v>
      </c>
      <c r="K198" s="25" t="n">
        <v>0.307</v>
      </c>
      <c r="L198" s="26">
        <f>J198/D198</f>
        <v/>
      </c>
      <c r="M198" s="26" t="n">
        <v>6.2</v>
      </c>
      <c r="N198" s="27" t="n">
        <v>34</v>
      </c>
      <c r="O198" s="27" t="n">
        <v>49</v>
      </c>
      <c r="P198" s="25" t="n">
        <v>0.96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1106</v>
      </c>
      <c r="E198" s="24" t="n">
        <v>1057356568</v>
      </c>
      <c r="F198" s="24" t="n">
        <v>956019</v>
      </c>
      <c r="G198" s="25">
        <f>IFERROR(F198/F186-1,"")</f>
        <v/>
      </c>
      <c r="H198" s="24" t="n">
        <v>875000</v>
      </c>
      <c r="I198" s="23" t="n">
        <v>3267</v>
      </c>
      <c r="J198" s="23" t="n">
        <v>5053</v>
      </c>
      <c r="K198" s="25" t="n">
        <v>0.324</v>
      </c>
      <c r="L198" s="26">
        <f>J198/D198</f>
        <v/>
      </c>
      <c r="M198" s="26" t="n">
        <v>5.2</v>
      </c>
      <c r="N198" s="27" t="n">
        <v>29</v>
      </c>
      <c r="O198" s="27" t="n">
        <v>44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816</v>
      </c>
      <c r="E198" s="24" t="n">
        <v>1018593994</v>
      </c>
      <c r="F198" s="24" t="n">
        <v>1248277</v>
      </c>
      <c r="G198" s="25">
        <f>IFERROR(F198/F186-1,"")</f>
        <v/>
      </c>
      <c r="H198" s="24" t="n">
        <v>1050000</v>
      </c>
      <c r="I198" s="23" t="n">
        <v>1969</v>
      </c>
      <c r="J198" s="23" t="n">
        <v>2870</v>
      </c>
      <c r="K198" s="25" t="n">
        <v>0.381</v>
      </c>
      <c r="L198" s="26">
        <f>J198/D198</f>
        <v/>
      </c>
      <c r="M198" s="26" t="n">
        <v>4.4</v>
      </c>
      <c r="N198" s="27" t="n">
        <v>29</v>
      </c>
      <c r="O198" s="27" t="n">
        <v>44</v>
      </c>
      <c r="P198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804</v>
      </c>
      <c r="E198" s="24" t="n">
        <v>684255873</v>
      </c>
      <c r="F198" s="24" t="n">
        <v>851065</v>
      </c>
      <c r="G198" s="25">
        <f>IFERROR(F198/F186-1,"")</f>
        <v/>
      </c>
      <c r="H198" s="24" t="n">
        <v>801000</v>
      </c>
      <c r="I198" s="23" t="n">
        <v>1978</v>
      </c>
      <c r="J198" s="23" t="n">
        <v>2563</v>
      </c>
      <c r="K198" s="25" t="n">
        <v>0.404</v>
      </c>
      <c r="L198" s="26">
        <f>J198/D198</f>
        <v/>
      </c>
      <c r="M198" s="26" t="n">
        <v>3.5</v>
      </c>
      <c r="N198" s="27" t="n">
        <v>24</v>
      </c>
      <c r="O198" s="27" t="n">
        <v>37</v>
      </c>
      <c r="P198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50</v>
      </c>
      <c r="E198" s="24" t="n">
        <v>38132900</v>
      </c>
      <c r="F198" s="24" t="n">
        <v>762658</v>
      </c>
      <c r="G198" s="25">
        <f>IFERROR(F198/F186-1,"")</f>
        <v/>
      </c>
      <c r="H198" s="24" t="n">
        <v>733000</v>
      </c>
      <c r="I198" s="23" t="n">
        <v>103</v>
      </c>
      <c r="J198" s="23" t="n">
        <v>151</v>
      </c>
      <c r="K198" s="25" t="n">
        <v>0.39</v>
      </c>
      <c r="L198" s="26">
        <f>J198/D198</f>
        <v/>
      </c>
      <c r="M198" s="26" t="n">
        <v>4.6</v>
      </c>
      <c r="N198" s="27" t="n">
        <v>33</v>
      </c>
      <c r="O198" s="27" t="n">
        <v>41</v>
      </c>
      <c r="P198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2026-06-03T20:48:15Z</dcterms:created>
  <dcterms:modified xmlns:dcterms="http://purl.org/dc/terms/" xmlns:xsi="http://www.w3.org/2001/XMLSchema-instance" xsi:type="dcterms:W3CDTF">2026-06-04T20:20:07Z</dcterms:modified>
  <cp:lastModifiedBy>David Ursino</cp:lastModifiedBy>
  <cp:revision>0</cp:revision>
</cp:coreProperties>
</file>